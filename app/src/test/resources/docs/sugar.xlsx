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Sheet1!$A$1:$A$35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<sst xmlns="http://schemas.openxmlformats.org/spreadsheetml/2006/main" count="38" uniqueCount="38">
  <si>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Table 26--Monthly estimates of fiscal 2009 U.S. sugar supply and use</t>
  </si>
  <si>
    <t xml:space="preserve">May</t>
  </si>
  <si>
    <t xml:space="preserve">June</t>
  </si>
  <si>
    <t xml:space="preserve">July</t>
  </si>
  <si>
    <t xml:space="preserve">Aug.</t>
  </si>
  <si>
    <t xml:space="preserve">Sept.</t>
  </si>
  <si>
    <t xml:space="preserve">Oct.</t>
  </si>
  <si>
    <t xml:space="preserve">Nov.</t>
  </si>
  <si>
    <t xml:space="preserve">Dec.</t>
  </si>
  <si>
    <t xml:space="preserve">Jan.</t>
  </si>
  <si>
    <t xml:space="preserve">Feb.</t>
  </si>
  <si>
    <t xml:space="preserve">Beginning stocks 1/</t>
  </si>
  <si>
    <t xml:space="preserve">Total production</t>
  </si>
  <si>
    <t xml:space="preserve">   Beet sugar</t>
  </si>
  <si>
    <t xml:space="preserve">   Cane sugar</t>
  </si>
  <si>
    <t xml:space="preserve">     Florida</t>
  </si>
  <si>
    <t xml:space="preserve">     Louisiana</t>
  </si>
  <si>
    <t xml:space="preserve">     Texas</t>
  </si>
  <si>
    <t xml:space="preserve">     Hawaii</t>
  </si>
  <si>
    <t xml:space="preserve">     Puerto Rico</t>
  </si>
  <si>
    <t xml:space="preserve">Total imports</t>
  </si>
  <si>
    <t xml:space="preserve">   Tariff-rate quota imports</t>
  </si>
  <si>
    <t xml:space="preserve">   Other program imports</t>
  </si>
  <si>
    <t xml:space="preserve">   Non-program imports</t>
  </si>
  <si>
    <t xml:space="preserve">     Mexico</t>
  </si>
  <si>
    <t xml:space="preserve">Total supply</t>
  </si>
  <si>
    <t xml:space="preserve">Exports </t>
  </si>
  <si>
    <t xml:space="preserve">Adjustments</t>
  </si>
  <si>
    <t xml:space="preserve">Total deliveries 2/</t>
  </si>
  <si>
    <t xml:space="preserve">   Domestic food and beverage</t>
  </si>
  <si>
    <t xml:space="preserve">   Other use</t>
  </si>
  <si>
    <t xml:space="preserve">   Total use</t>
  </si>
  <si>
    <t xml:space="preserve">Ending stocks</t>
  </si>
  <si>
    <t xml:space="preserve">Stocks/use ratio</t>
  </si>
  <si>
    <t xml:space="preserve">1/ As of May 2004, includes all stocks held by processors, millers, and refiners, including stocks held for others. </t>
  </si>
  <si>
    <t xml:space="preserve">NA = Not available.</t>
  </si>
  <si>
    <t xml:space="preserve">Source: WASDE, USDA.</t>
  </si>
  <si>
    <t xml:space="preserve">Last updated: 2/10/2009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</si>
</sst>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0.00"/>
    <numFmt numFmtId="168" formatCode="#,##0.00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0"/>
    </font>
    <font>
      <sz val="8"/>
      <color rgb="FF000000"/>
      <name val="Arial"/>
      <family val="2"/>
    </font>
    <font>
      <sz val="8"/>
      <name val="Arial"/>
      <family val="2"/>
    </font>
    <font>
      <sz val="7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WASDE2~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22.56"/>
    <col collapsed="false" customWidth="true" hidden="false" outlineLevel="0" max="11" min="2" style="2" width="9.14"/>
  </cols>
  <sheetData>
    <row r="1" s="6" customFormat="true" ht="12.75" hidden="false" customHeight="false" outlineLevel="0" collapsed="false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</row>
    <row r="2" customFormat="false" ht="12.75" hidden="false" customHeight="false" outlineLevel="0" collapsed="false">
      <c r="A2" s="7"/>
    </row>
    <row r="3" customFormat="false" ht="12.75" hidden="false" customHeight="false" outlineLevel="0" collapsed="false">
      <c r="A3" s="7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</row>
    <row r="4" s="11" customFormat="true" ht="12.75" hidden="false" customHeight="false" outlineLevel="0" collapsed="false">
      <c r="A4" s="9"/>
      <c r="B4" s="10" t="n">
        <v>2008</v>
      </c>
      <c r="C4" s="10" t="n">
        <v>2008</v>
      </c>
      <c r="D4" s="10" t="n">
        <v>2008</v>
      </c>
      <c r="E4" s="10" t="n">
        <v>2008</v>
      </c>
      <c r="F4" s="10" t="n">
        <v>2008</v>
      </c>
      <c r="G4" s="10" t="n">
        <v>2008</v>
      </c>
      <c r="H4" s="10" t="n">
        <v>2008</v>
      </c>
      <c r="I4" s="10" t="n">
        <v>2008</v>
      </c>
      <c r="J4" s="10" t="n">
        <v>2009</v>
      </c>
      <c r="K4" s="10" t="n">
        <v>2009</v>
      </c>
    </row>
    <row r="5" customFormat="false" ht="12.75" hidden="false" customHeight="false" outlineLevel="0" collapsed="false">
      <c r="A5" s="7"/>
    </row>
    <row r="6" customFormat="false" ht="12.75" hidden="false" customHeight="false" outlineLevel="0" collapsed="false">
      <c r="A6" s="7"/>
    </row>
    <row r="7" customFormat="false" ht="12.75" hidden="false" customHeight="false" outlineLevel="0" collapsed="false">
      <c r="A7" s="12" t="s">
        <v>11</v>
      </c>
      <c r="B7" s="13" t="n">
        <v>1755.625</v>
      </c>
      <c r="C7" s="13" t="n">
        <v>1693.38</v>
      </c>
      <c r="D7" s="13" t="n">
        <v>1491.367</v>
      </c>
      <c r="E7" s="13" t="n">
        <v>1641.9</v>
      </c>
      <c r="F7" s="13" t="n">
        <v>1568</v>
      </c>
      <c r="G7" s="13" t="n">
        <v>1509</v>
      </c>
      <c r="H7" s="13" t="n">
        <v>1690.248</v>
      </c>
      <c r="I7" s="13" t="n">
        <v>1663.823</v>
      </c>
      <c r="J7" s="13" t="n">
        <v>1655.761</v>
      </c>
      <c r="K7" s="13" t="n">
        <v>1660.332</v>
      </c>
    </row>
    <row r="8" customFormat="false" ht="12.75" hidden="false" customHeight="false" outlineLevel="0" collapsed="false">
      <c r="A8" s="12" t="s">
        <v>12</v>
      </c>
      <c r="B8" s="13" t="n">
        <f aca="false">B9+B10</f>
        <v>8115</v>
      </c>
      <c r="C8" s="13" t="n">
        <f aca="false">C9+C10</f>
        <v>8115</v>
      </c>
      <c r="D8" s="13" t="n">
        <f aca="false">D9+D10</f>
        <v>7825.472</v>
      </c>
      <c r="E8" s="13" t="n">
        <f aca="false">E9+E10</f>
        <v>7721.296</v>
      </c>
      <c r="F8" s="13" t="n">
        <f aca="false">F9+F10</f>
        <v>7454</v>
      </c>
      <c r="G8" s="13" t="n">
        <f aca="false">G9+G10</f>
        <v>7656</v>
      </c>
      <c r="H8" s="13" t="n">
        <f aca="false">H9+H10</f>
        <v>7681</v>
      </c>
      <c r="I8" s="13" t="n">
        <f aca="false">I9+I10</f>
        <v>7681</v>
      </c>
      <c r="J8" s="13" t="n">
        <f aca="false">J9+J10</f>
        <v>7800</v>
      </c>
      <c r="K8" s="13" t="n">
        <f aca="false">K9+K10</f>
        <v>7715</v>
      </c>
    </row>
    <row r="9" customFormat="false" ht="12.75" hidden="false" customHeight="false" outlineLevel="0" collapsed="false">
      <c r="A9" s="14" t="s">
        <v>13</v>
      </c>
      <c r="B9" s="13" t="n">
        <v>4400</v>
      </c>
      <c r="C9" s="13" t="n">
        <v>4400</v>
      </c>
      <c r="D9" s="13" t="n">
        <v>4223.454</v>
      </c>
      <c r="E9" s="13" t="n">
        <v>4141</v>
      </c>
      <c r="F9" s="13" t="n">
        <v>4000</v>
      </c>
      <c r="G9" s="13" t="n">
        <v>4200</v>
      </c>
      <c r="H9" s="13" t="n">
        <v>4225</v>
      </c>
      <c r="I9" s="13" t="n">
        <v>4225</v>
      </c>
      <c r="J9" s="13" t="n">
        <v>4225</v>
      </c>
      <c r="K9" s="13" t="n">
        <v>4225</v>
      </c>
    </row>
    <row r="10" customFormat="false" ht="12.75" hidden="false" customHeight="false" outlineLevel="0" collapsed="false">
      <c r="A10" s="14" t="s">
        <v>14</v>
      </c>
      <c r="B10" s="13" t="n">
        <f aca="false">B11+B12+B13+B14+B15</f>
        <v>3715</v>
      </c>
      <c r="C10" s="13" t="n">
        <f aca="false">C11+C12+C13+C14+C15</f>
        <v>3715</v>
      </c>
      <c r="D10" s="13" t="n">
        <f aca="false">D11+D12+D13+D14+D15</f>
        <v>3602.018</v>
      </c>
      <c r="E10" s="13" t="n">
        <f aca="false">E11+E12+E13+E14+E15</f>
        <v>3580.296</v>
      </c>
      <c r="F10" s="13" t="n">
        <f aca="false">F11+F12+F13+F14+F15</f>
        <v>3454</v>
      </c>
      <c r="G10" s="13" t="n">
        <f aca="false">G11+G12+G13+G14+G15</f>
        <v>3456</v>
      </c>
      <c r="H10" s="13" t="n">
        <f aca="false">H11+H12+H13+H14+H15</f>
        <v>3456</v>
      </c>
      <c r="I10" s="13" t="n">
        <f aca="false">I11+I12+I13+I14+I15</f>
        <v>3456</v>
      </c>
      <c r="J10" s="13" t="n">
        <f aca="false">J11+J12+J13+J14+J15</f>
        <v>3575</v>
      </c>
      <c r="K10" s="13" t="n">
        <f aca="false">K11+K12+K13+K14+K15</f>
        <v>3490</v>
      </c>
    </row>
    <row r="11" customFormat="false" ht="12.75" hidden="false" customHeight="false" outlineLevel="0" collapsed="false">
      <c r="A11" s="14" t="s">
        <v>15</v>
      </c>
      <c r="B11" s="13" t="n">
        <v>1865</v>
      </c>
      <c r="C11" s="13" t="n">
        <v>1865</v>
      </c>
      <c r="D11" s="13" t="n">
        <v>1759.296</v>
      </c>
      <c r="E11" s="13" t="n">
        <v>1759.296</v>
      </c>
      <c r="F11" s="13" t="n">
        <v>1747</v>
      </c>
      <c r="G11" s="13" t="n">
        <v>1747</v>
      </c>
      <c r="H11" s="13" t="n">
        <v>1747</v>
      </c>
      <c r="I11" s="13" t="n">
        <v>1747</v>
      </c>
      <c r="J11" s="13" t="n">
        <v>1766</v>
      </c>
      <c r="K11" s="13" t="n">
        <v>1670</v>
      </c>
    </row>
    <row r="12" customFormat="false" ht="12.75" hidden="false" customHeight="false" outlineLevel="0" collapsed="false">
      <c r="A12" s="14" t="s">
        <v>16</v>
      </c>
      <c r="B12" s="13" t="n">
        <v>1410</v>
      </c>
      <c r="C12" s="13" t="n">
        <v>1410</v>
      </c>
      <c r="D12" s="13" t="n">
        <v>1415</v>
      </c>
      <c r="E12" s="13" t="n">
        <v>1415</v>
      </c>
      <c r="F12" s="13" t="n">
        <v>1300</v>
      </c>
      <c r="G12" s="13" t="n">
        <v>1300</v>
      </c>
      <c r="H12" s="13" t="n">
        <v>1300</v>
      </c>
      <c r="I12" s="13" t="n">
        <v>1300</v>
      </c>
      <c r="J12" s="13" t="n">
        <v>1400</v>
      </c>
      <c r="K12" s="13" t="n">
        <v>1425</v>
      </c>
    </row>
    <row r="13" customFormat="false" ht="12.75" hidden="false" customHeight="false" outlineLevel="0" collapsed="false">
      <c r="A13" s="14" t="s">
        <v>17</v>
      </c>
      <c r="B13" s="13" t="n">
        <v>200</v>
      </c>
      <c r="C13" s="13" t="n">
        <v>200</v>
      </c>
      <c r="D13" s="13" t="n">
        <v>198.1</v>
      </c>
      <c r="E13" s="13" t="n">
        <v>184</v>
      </c>
      <c r="F13" s="13" t="n">
        <v>184</v>
      </c>
      <c r="G13" s="13" t="n">
        <v>184</v>
      </c>
      <c r="H13" s="13" t="n">
        <v>184</v>
      </c>
      <c r="I13" s="13" t="n">
        <v>184</v>
      </c>
      <c r="J13" s="13" t="n">
        <v>184</v>
      </c>
      <c r="K13" s="13" t="n">
        <v>170</v>
      </c>
    </row>
    <row r="14" customFormat="false" ht="12.75" hidden="false" customHeight="false" outlineLevel="0" collapsed="false">
      <c r="A14" s="14" t="s">
        <v>18</v>
      </c>
      <c r="B14" s="13" t="n">
        <v>240</v>
      </c>
      <c r="C14" s="13" t="n">
        <v>240</v>
      </c>
      <c r="D14" s="13" t="n">
        <v>229.622</v>
      </c>
      <c r="E14" s="13" t="n">
        <v>222</v>
      </c>
      <c r="F14" s="13" t="n">
        <v>223</v>
      </c>
      <c r="G14" s="13" t="n">
        <v>225</v>
      </c>
      <c r="H14" s="13" t="n">
        <v>225</v>
      </c>
      <c r="I14" s="13" t="n">
        <v>225</v>
      </c>
      <c r="J14" s="13" t="n">
        <v>225</v>
      </c>
      <c r="K14" s="13" t="n">
        <v>225</v>
      </c>
    </row>
    <row r="15" customFormat="false" ht="12.75" hidden="false" customHeight="false" outlineLevel="0" collapsed="false">
      <c r="A15" s="14" t="s">
        <v>19</v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</row>
    <row r="16" customFormat="false" ht="12.75" hidden="false" customHeight="false" outlineLevel="0" collapsed="false">
      <c r="A16" s="12" t="s">
        <v>20</v>
      </c>
      <c r="B16" s="15" t="n">
        <f aca="false">B17+B18+B19</f>
        <v>2249.251</v>
      </c>
      <c r="C16" s="15" t="n">
        <f aca="false">C17+C18+C19</f>
        <v>2249.251</v>
      </c>
      <c r="D16" s="15" t="n">
        <f aca="false">D17+D18+D19</f>
        <v>2249.251</v>
      </c>
      <c r="E16" s="15" t="n">
        <f aca="false">E17+E18+E19</f>
        <v>2363.344</v>
      </c>
      <c r="F16" s="15" t="n">
        <f aca="false">F17+F18+F19</f>
        <v>2443.344</v>
      </c>
      <c r="G16" s="15" t="n">
        <f aca="false">G17+G18+G19</f>
        <v>2451</v>
      </c>
      <c r="H16" s="15" t="n">
        <f aca="false">H17+H18+H19</f>
        <v>2496</v>
      </c>
      <c r="I16" s="15" t="n">
        <f aca="false">I17+I18+I19</f>
        <v>2496</v>
      </c>
      <c r="J16" s="15" t="n">
        <f aca="false">J17+J18+J19</f>
        <v>2496</v>
      </c>
      <c r="K16" s="15" t="n">
        <f aca="false">K17+K18+K19</f>
        <v>2530.969</v>
      </c>
    </row>
    <row r="17" customFormat="false" ht="12.75" hidden="false" customHeight="false" outlineLevel="0" collapsed="false">
      <c r="A17" s="14" t="s">
        <v>21</v>
      </c>
      <c r="B17" s="15" t="n">
        <v>1274.251</v>
      </c>
      <c r="C17" s="15" t="n">
        <v>1274.251</v>
      </c>
      <c r="D17" s="15" t="n">
        <v>1274.251</v>
      </c>
      <c r="E17" s="15" t="n">
        <v>1378.344</v>
      </c>
      <c r="F17" s="15" t="n">
        <f aca="false">1378.344+80</f>
        <v>1458.344</v>
      </c>
      <c r="G17" s="15" t="n">
        <v>1466</v>
      </c>
      <c r="H17" s="15" t="n">
        <v>1511</v>
      </c>
      <c r="I17" s="15" t="n">
        <v>1511</v>
      </c>
      <c r="J17" s="15" t="n">
        <v>1511</v>
      </c>
      <c r="K17" s="15" t="n">
        <v>1495.969</v>
      </c>
    </row>
    <row r="18" customFormat="false" ht="12.75" hidden="false" customHeight="false" outlineLevel="0" collapsed="false">
      <c r="A18" s="14" t="s">
        <v>22</v>
      </c>
      <c r="B18" s="13" t="n">
        <v>425</v>
      </c>
      <c r="C18" s="13" t="n">
        <v>425</v>
      </c>
      <c r="D18" s="13" t="n">
        <v>425</v>
      </c>
      <c r="E18" s="13" t="n">
        <v>425</v>
      </c>
      <c r="F18" s="13" t="n">
        <v>425</v>
      </c>
      <c r="G18" s="13" t="n">
        <v>425</v>
      </c>
      <c r="H18" s="13" t="n">
        <v>425</v>
      </c>
      <c r="I18" s="13" t="n">
        <v>345</v>
      </c>
      <c r="J18" s="13" t="n">
        <v>345</v>
      </c>
      <c r="K18" s="13" t="n">
        <v>345</v>
      </c>
    </row>
    <row r="19" customFormat="false" ht="12.75" hidden="false" customHeight="false" outlineLevel="0" collapsed="false">
      <c r="A19" s="14" t="s">
        <v>23</v>
      </c>
      <c r="B19" s="13" t="n">
        <v>550</v>
      </c>
      <c r="C19" s="13" t="n">
        <v>550</v>
      </c>
      <c r="D19" s="13" t="n">
        <v>550</v>
      </c>
      <c r="E19" s="13" t="n">
        <v>560</v>
      </c>
      <c r="F19" s="13" t="n">
        <v>560</v>
      </c>
      <c r="G19" s="13" t="n">
        <v>560</v>
      </c>
      <c r="H19" s="13" t="n">
        <v>560</v>
      </c>
      <c r="I19" s="13" t="n">
        <v>640</v>
      </c>
      <c r="J19" s="13" t="n">
        <v>640</v>
      </c>
      <c r="K19" s="13" t="n">
        <v>690</v>
      </c>
    </row>
    <row r="20" customFormat="false" ht="12.75" hidden="false" customHeight="false" outlineLevel="0" collapsed="false">
      <c r="A20" s="14" t="s">
        <v>24</v>
      </c>
      <c r="B20" s="13" t="n">
        <v>550</v>
      </c>
      <c r="C20" s="13" t="n">
        <v>550</v>
      </c>
      <c r="D20" s="13" t="n">
        <v>550</v>
      </c>
      <c r="E20" s="13" t="n">
        <v>550</v>
      </c>
      <c r="F20" s="13" t="n">
        <v>550</v>
      </c>
      <c r="G20" s="13" t="n">
        <v>550</v>
      </c>
      <c r="H20" s="13" t="n">
        <v>550</v>
      </c>
      <c r="I20" s="13" t="n">
        <v>630</v>
      </c>
      <c r="J20" s="13" t="n">
        <v>630</v>
      </c>
      <c r="K20" s="13" t="n">
        <v>680</v>
      </c>
    </row>
    <row r="21" customFormat="false" ht="12.75" hidden="false" customHeight="false" outlineLevel="0" collapsed="false">
      <c r="A21" s="14" t="s">
        <v>25</v>
      </c>
      <c r="B21" s="15" t="n">
        <f aca="false">B7+B8+B16</f>
        <v>12119.876</v>
      </c>
      <c r="C21" s="15" t="n">
        <f aca="false">C7+C8+C16</f>
        <v>12057.631</v>
      </c>
      <c r="D21" s="15" t="n">
        <f aca="false">D7+D8+D16</f>
        <v>11566.09</v>
      </c>
      <c r="E21" s="15" t="n">
        <f aca="false">E7+E8+E16</f>
        <v>11726.54</v>
      </c>
      <c r="F21" s="15" t="n">
        <f aca="false">F7+F8+F16</f>
        <v>11465.344</v>
      </c>
      <c r="G21" s="15" t="n">
        <f aca="false">G7+G8+G16</f>
        <v>11616</v>
      </c>
      <c r="H21" s="15" t="n">
        <f aca="false">H7+H8+H16</f>
        <v>11867.248</v>
      </c>
      <c r="I21" s="15" t="n">
        <f aca="false">I7+I8+I16</f>
        <v>11840.823</v>
      </c>
      <c r="J21" s="15" t="n">
        <f aca="false">J7+J8+J16</f>
        <v>11951.761</v>
      </c>
      <c r="K21" s="15" t="n">
        <f aca="false">K7+K8+K16</f>
        <v>11906.301</v>
      </c>
    </row>
    <row r="22" customFormat="false" ht="12.75" hidden="false" customHeight="false" outlineLevel="0" collapsed="false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customFormat="false" ht="12.75" hidden="false" customHeight="false" outlineLevel="0" collapsed="false">
      <c r="A23" s="14" t="s">
        <v>26</v>
      </c>
      <c r="B23" s="13" t="n">
        <v>250</v>
      </c>
      <c r="C23" s="13" t="n">
        <v>250</v>
      </c>
      <c r="D23" s="13" t="n">
        <v>250</v>
      </c>
      <c r="E23" s="13" t="n">
        <v>250</v>
      </c>
      <c r="F23" s="13" t="n">
        <v>250</v>
      </c>
      <c r="G23" s="13" t="n">
        <v>250</v>
      </c>
      <c r="H23" s="13" t="n">
        <v>250</v>
      </c>
      <c r="I23" s="13" t="n">
        <v>170</v>
      </c>
      <c r="J23" s="13" t="n">
        <v>170</v>
      </c>
      <c r="K23" s="13" t="n">
        <v>130</v>
      </c>
    </row>
    <row r="24" customFormat="false" ht="12.75" hidden="false" customHeight="false" outlineLevel="0" collapsed="false">
      <c r="A24" s="12" t="s">
        <v>27</v>
      </c>
      <c r="B24" s="13" t="n">
        <v>0</v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</row>
    <row r="25" customFormat="false" ht="12.75" hidden="false" customHeight="false" outlineLevel="0" collapsed="false">
      <c r="A25" s="14" t="s">
        <v>28</v>
      </c>
      <c r="B25" s="13" t="n">
        <f aca="false">B26+B27</f>
        <v>10535</v>
      </c>
      <c r="C25" s="13" t="n">
        <f aca="false">C26+C27</f>
        <v>10535</v>
      </c>
      <c r="D25" s="13" t="n">
        <f aca="false">D26+D27</f>
        <v>10710</v>
      </c>
      <c r="E25" s="13" t="n">
        <f aca="false">E26+E27</f>
        <v>10710</v>
      </c>
      <c r="F25" s="13" t="n">
        <f aca="false">F26+F27</f>
        <v>10710</v>
      </c>
      <c r="G25" s="13" t="n">
        <f aca="false">G26+G27</f>
        <v>10710</v>
      </c>
      <c r="H25" s="13" t="n">
        <f aca="false">H26+H27</f>
        <v>10710</v>
      </c>
      <c r="I25" s="13" t="n">
        <f aca="false">I26+I27</f>
        <v>10710</v>
      </c>
      <c r="J25" s="13" t="n">
        <f aca="false">J26+J27</f>
        <v>10710</v>
      </c>
      <c r="K25" s="13" t="n">
        <f aca="false">K26+K27</f>
        <v>10710</v>
      </c>
    </row>
    <row r="26" customFormat="false" ht="12.75" hidden="false" customHeight="false" outlineLevel="0" collapsed="false">
      <c r="A26" s="14" t="s">
        <v>29</v>
      </c>
      <c r="B26" s="13" t="n">
        <v>10325</v>
      </c>
      <c r="C26" s="13" t="n">
        <v>10325</v>
      </c>
      <c r="D26" s="13" t="n">
        <v>10500</v>
      </c>
      <c r="E26" s="13" t="n">
        <v>10500</v>
      </c>
      <c r="F26" s="13" t="n">
        <v>10500</v>
      </c>
      <c r="G26" s="13" t="n">
        <v>10500</v>
      </c>
      <c r="H26" s="13" t="n">
        <v>10500</v>
      </c>
      <c r="I26" s="13" t="n">
        <v>10500</v>
      </c>
      <c r="J26" s="13" t="n">
        <v>10500</v>
      </c>
      <c r="K26" s="13" t="n">
        <v>10500</v>
      </c>
    </row>
    <row r="27" customFormat="false" ht="12.75" hidden="false" customHeight="false" outlineLevel="0" collapsed="false">
      <c r="A27" s="14" t="s">
        <v>30</v>
      </c>
      <c r="B27" s="13" t="n">
        <f aca="false">150+25+35</f>
        <v>210</v>
      </c>
      <c r="C27" s="13" t="n">
        <f aca="false">150+25+35</f>
        <v>210</v>
      </c>
      <c r="D27" s="13" t="n">
        <f aca="false">150+25+35</f>
        <v>210</v>
      </c>
      <c r="E27" s="13" t="n">
        <f aca="false">150+25+35</f>
        <v>210</v>
      </c>
      <c r="F27" s="13" t="n">
        <f aca="false">150+25+35</f>
        <v>210</v>
      </c>
      <c r="G27" s="13" t="n">
        <f aca="false">150+25+35</f>
        <v>210</v>
      </c>
      <c r="H27" s="13" t="n">
        <f aca="false">150+25+35</f>
        <v>210</v>
      </c>
      <c r="I27" s="13" t="n">
        <f aca="false">150+25+35</f>
        <v>210</v>
      </c>
      <c r="J27" s="13" t="n">
        <f aca="false">150+25+35</f>
        <v>210</v>
      </c>
      <c r="K27" s="13" t="n">
        <f aca="false">150+25+35</f>
        <v>210</v>
      </c>
    </row>
    <row r="28" customFormat="false" ht="12.75" hidden="false" customHeight="false" outlineLevel="0" collapsed="false">
      <c r="A28" s="14" t="s">
        <v>31</v>
      </c>
      <c r="B28" s="13" t="n">
        <f aca="false">B23+B24+B25</f>
        <v>10785</v>
      </c>
      <c r="C28" s="13" t="n">
        <f aca="false">C23+C24+C25</f>
        <v>10785</v>
      </c>
      <c r="D28" s="13" t="n">
        <f aca="false">D23+D24+D25</f>
        <v>10960</v>
      </c>
      <c r="E28" s="13" t="n">
        <f aca="false">E23+E24+E25</f>
        <v>10960</v>
      </c>
      <c r="F28" s="13" t="n">
        <f aca="false">F23+F24+F25</f>
        <v>10960</v>
      </c>
      <c r="G28" s="13" t="n">
        <f aca="false">G23+G24+G25</f>
        <v>10960</v>
      </c>
      <c r="H28" s="13" t="n">
        <f aca="false">H23+H24+H25</f>
        <v>10960</v>
      </c>
      <c r="I28" s="13" t="n">
        <f aca="false">I23+I24+I25</f>
        <v>10880</v>
      </c>
      <c r="J28" s="13" t="n">
        <f aca="false">J23+J24+J25</f>
        <v>10880</v>
      </c>
      <c r="K28" s="13" t="n">
        <f aca="false">K23+K24+K25</f>
        <v>10840</v>
      </c>
    </row>
    <row r="29" customFormat="false" ht="12.75" hidden="false" customHeight="false" outlineLevel="0" collapsed="false">
      <c r="A29" s="12" t="s">
        <v>32</v>
      </c>
      <c r="B29" s="15" t="n">
        <f aca="false">B21-B28</f>
        <v>1334.876</v>
      </c>
      <c r="C29" s="15" t="n">
        <f aca="false">C21-C28</f>
        <v>1272.631</v>
      </c>
      <c r="D29" s="15" t="n">
        <f aca="false">D21-D28</f>
        <v>606.09</v>
      </c>
      <c r="E29" s="15" t="n">
        <f aca="false">E21-E28</f>
        <v>766.540000000001</v>
      </c>
      <c r="F29" s="15" t="n">
        <f aca="false">F21-F28</f>
        <v>505.344000000001</v>
      </c>
      <c r="G29" s="15" t="n">
        <f aca="false">G21-G28</f>
        <v>656</v>
      </c>
      <c r="H29" s="15" t="n">
        <f aca="false">H21-H28</f>
        <v>907.248</v>
      </c>
      <c r="I29" s="15" t="n">
        <f aca="false">I21-I28</f>
        <v>960.823</v>
      </c>
      <c r="J29" s="15" t="n">
        <f aca="false">J21-J28</f>
        <v>1071.761</v>
      </c>
      <c r="K29" s="15" t="n">
        <f aca="false">K21-K28</f>
        <v>1066.301</v>
      </c>
    </row>
    <row r="30" customFormat="false" ht="12.75" hidden="false" customHeight="false" outlineLevel="0" collapsed="false">
      <c r="A30" s="7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s="18" customFormat="true" ht="12.75" hidden="false" customHeight="false" outlineLevel="0" collapsed="false">
      <c r="A31" s="16" t="s">
        <v>33</v>
      </c>
      <c r="B31" s="17" t="n">
        <f aca="false">100*B29/B28</f>
        <v>12.3771534538711</v>
      </c>
      <c r="C31" s="17" t="n">
        <f aca="false">100*C29/C28</f>
        <v>11.8000092721372</v>
      </c>
      <c r="D31" s="17" t="n">
        <f aca="false">100*D29/D28</f>
        <v>5.53001824817518</v>
      </c>
      <c r="E31" s="17" t="n">
        <f aca="false">100*E29/E28</f>
        <v>6.99397810218979</v>
      </c>
      <c r="F31" s="17" t="n">
        <f aca="false">100*F29/F28</f>
        <v>4.61080291970804</v>
      </c>
      <c r="G31" s="17" t="n">
        <f aca="false">100*G29/G28</f>
        <v>5.98540145985402</v>
      </c>
      <c r="H31" s="17" t="n">
        <f aca="false">100*H29/H28</f>
        <v>8.2778102189781</v>
      </c>
      <c r="I31" s="17" t="n">
        <f aca="false">100*I29/I28</f>
        <v>8.83109375</v>
      </c>
      <c r="J31" s="17" t="n">
        <f aca="false">100*J29/J28</f>
        <v>9.85074448529412</v>
      </c>
      <c r="K31" s="17" t="n">
        <f aca="false">100*K29/K28</f>
        <v>9.83672509225092</v>
      </c>
    </row>
    <row r="32" s="22" customFormat="true" ht="12.75" hidden="false" customHeight="false" outlineLevel="0" collapsed="false">
      <c r="A32" s="19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1"/>
      <c r="N32" s="21"/>
    </row>
    <row r="33" customFormat="false" ht="12.75" hidden="false" customHeight="false" outlineLevel="0" collapsed="false">
      <c r="A33" s="23" t="s">
        <v>35</v>
      </c>
    </row>
    <row r="34" customFormat="false" ht="12.75" hidden="false" customHeight="false" outlineLevel="0" collapsed="false">
      <c r="A34" s="24" t="s">
        <v>36</v>
      </c>
    </row>
    <row r="35" customFormat="false" ht="12.75" hidden="false" customHeight="false" outlineLevel="0" collapsed="false">
      <c r="A35" s="25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9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2002-05-14T12:26:53Z</dcterms:created>
  <dc:creator>Stephen Haley</dc:creator>
  <dc:description/>
  <dc:language>en-US</dc:language>
  <cp:lastModifiedBy>MaeDean Johnson</cp:lastModifiedBy>
  <cp:lastPrinted>2005-04-12T14:26:41Z</cp:lastPrinted>
  <dcterms:modified xsi:type="dcterms:W3CDTF">2009-02-10T20:08:38Z</dcterms:modified>
  <cp:revision>0</cp:revision>
  <dc:subject/>
  <dc:title/>
</cp:coreProperties>
</file>